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repos\Облако\ВУЗ\3курс\Лабораторные\Архитектура ЭВМ\2\"/>
    </mc:Choice>
  </mc:AlternateContent>
  <xr:revisionPtr revIDLastSave="0" documentId="13_ncr:1_{23D9930E-AECA-47DF-8EC4-F4027A161C29}" xr6:coauthVersionLast="47" xr6:coauthVersionMax="47" xr10:uidLastSave="{00000000-0000-0000-0000-000000000000}"/>
  <bookViews>
    <workbookView xWindow="-120" yWindow="-120" windowWidth="29040" windowHeight="15720" xr2:uid="{33F9B2C4-F068-4C42-B129-2D0398F4D904}"/>
  </bookViews>
  <sheets>
    <sheet name="лаба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V9" i="1"/>
  <c r="U9" i="1"/>
  <c r="T9" i="1"/>
  <c r="R9" i="1"/>
  <c r="Q9" i="1"/>
  <c r="P9" i="1"/>
  <c r="O9" i="1"/>
  <c r="A80" i="1"/>
  <c r="A81" i="1"/>
  <c r="A89" i="1"/>
  <c r="A88" i="1"/>
  <c r="A85" i="1"/>
  <c r="A84" i="1"/>
  <c r="A76" i="1"/>
  <c r="A75" i="1"/>
  <c r="A72" i="1"/>
  <c r="A67" i="1"/>
  <c r="A63" i="1"/>
  <c r="A58" i="1"/>
  <c r="A66" i="1"/>
  <c r="A62" i="1"/>
  <c r="A57" i="1"/>
  <c r="D58" i="1" s="1"/>
  <c r="A71" i="1"/>
  <c r="C57" i="1" l="1"/>
  <c r="E57" i="1" s="1"/>
  <c r="D63" i="1" s="1"/>
  <c r="I11" i="1" s="1"/>
  <c r="J11" i="1"/>
  <c r="R24" i="1" l="1"/>
  <c r="Q24" i="1"/>
  <c r="C62" i="1"/>
  <c r="E62" i="1" l="1"/>
  <c r="C66" i="1" s="1"/>
  <c r="E66" i="1" l="1"/>
  <c r="D72" i="1" s="1"/>
  <c r="G11" i="1" s="1"/>
  <c r="D67" i="1"/>
  <c r="H11" i="1" s="1"/>
  <c r="O24" i="1" l="1"/>
  <c r="P24" i="1"/>
  <c r="C71" i="1"/>
  <c r="E71" i="1" s="1"/>
  <c r="D76" i="1" l="1"/>
  <c r="E11" i="1" s="1"/>
  <c r="C75" i="1"/>
  <c r="E75" i="1" s="1"/>
  <c r="C80" i="1" l="1"/>
  <c r="E80" i="1" s="1"/>
  <c r="D81" i="1"/>
  <c r="D11" i="1" s="1"/>
  <c r="M24" i="1"/>
  <c r="L24" i="1" l="1"/>
  <c r="C84" i="1"/>
  <c r="E84" i="1" s="1"/>
  <c r="D89" i="1" s="1"/>
  <c r="D85" i="1"/>
  <c r="B11" i="1" l="1"/>
  <c r="J24" i="1" s="1"/>
  <c r="C11" i="1"/>
  <c r="K24" i="1" s="1"/>
  <c r="C88" i="1"/>
  <c r="E88" i="1" s="1"/>
  <c r="M2" i="1" s="1"/>
</calcChain>
</file>

<file path=xl/sharedStrings.xml><?xml version="1.0" encoding="utf-8"?>
<sst xmlns="http://schemas.openxmlformats.org/spreadsheetml/2006/main" count="5" uniqueCount="4">
  <si>
    <t>Переполнение</t>
  </si>
  <si>
    <t>Смещение</t>
  </si>
  <si>
    <t>упр.сигн</t>
  </si>
  <si>
    <t>+1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</si>
</sst>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49" fontId="0" fillId="2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23F24-D8F7-4BDE-85F3-835114F5308D}">
  <dimension ref="A1:Z89"/>
  <sheetViews>
    <sheetView tabSelected="1" zoomScale="130" zoomScaleNormal="130" workbookViewId="0">
      <selection activeCell="Z8" sqref="Y7:Z8"/>
    </sheetView>
  </sheetViews>
  <sheetFormatPr defaultColWidth="8.75" defaultRowHeight="14.25"/>
  <cols>
    <col min="1" max="5" width="1.875" style="1" bestFit="1" customWidth="1"/>
    <col min="6" max="6" width="8.75" style="1"/>
    <col min="7" max="10" width="1.875" style="1" bestFit="1" customWidth="1"/>
    <col min="11" max="11" width="7.875" style="1" bestFit="1" customWidth="1"/>
    <col min="12" max="12" width="1.875" style="1" bestFit="1" customWidth="1"/>
    <col min="13" max="13" width="13.25" style="1" bestFit="1" customWidth="1"/>
    <col min="14" max="14" width="8.75" style="1"/>
    <col min="15" max="18" width="1.875" style="1" bestFit="1" customWidth="1"/>
    <col min="19" max="19" width="8.75" style="1"/>
    <col min="20" max="23" width="1.875" style="1" bestFit="1" customWidth="1"/>
    <col min="24" max="24" width="8.75" style="1"/>
    <col min="25" max="25" width="9.875" style="1" bestFit="1" customWidth="1"/>
    <col min="26" max="26" width="7.875" style="1" bestFit="1" customWidth="1"/>
    <col min="27" max="16384" width="8.75" style="1"/>
  </cols>
  <sheetData>
    <row r="1" spans="2:26">
      <c r="K1" s="1" t="s">
        <v>2</v>
      </c>
      <c r="M1" s="1" t="s">
        <v>0</v>
      </c>
      <c r="N1" s="7" t="s">
        <v>3</v>
      </c>
    </row>
    <row r="2" spans="2:26">
      <c r="K2" s="1">
        <v>1</v>
      </c>
      <c r="M2" s="1">
        <f>IF(_xlfn.XOR(E84,E88),1,0)</f>
        <v>0</v>
      </c>
      <c r="N2" s="1">
        <v>0</v>
      </c>
    </row>
    <row r="7" spans="2:26">
      <c r="B7" s="5">
        <v>0</v>
      </c>
      <c r="C7" s="5">
        <v>0</v>
      </c>
      <c r="D7" s="5">
        <v>0</v>
      </c>
      <c r="E7" s="5">
        <v>0</v>
      </c>
      <c r="F7" s="6"/>
      <c r="G7" s="5">
        <v>0</v>
      </c>
      <c r="H7" s="5">
        <v>0</v>
      </c>
      <c r="I7" s="5">
        <v>0</v>
      </c>
      <c r="J7" s="5">
        <v>0</v>
      </c>
      <c r="O7" s="3">
        <v>0</v>
      </c>
      <c r="P7" s="3">
        <v>0</v>
      </c>
      <c r="Q7" s="3">
        <v>0</v>
      </c>
      <c r="R7" s="3">
        <v>0</v>
      </c>
      <c r="S7" s="3"/>
      <c r="T7" s="3">
        <v>0</v>
      </c>
      <c r="U7" s="3">
        <v>1</v>
      </c>
      <c r="V7" s="3">
        <v>1</v>
      </c>
      <c r="W7" s="3">
        <v>1</v>
      </c>
      <c r="X7" s="4"/>
      <c r="Y7" s="3" t="s">
        <v>1</v>
      </c>
      <c r="Z7" s="1" t="s">
        <v>2</v>
      </c>
    </row>
    <row r="8" spans="2:26">
      <c r="B8" s="5">
        <v>0</v>
      </c>
      <c r="C8" s="5">
        <v>0</v>
      </c>
      <c r="D8" s="5">
        <v>0</v>
      </c>
      <c r="E8" s="5">
        <v>0</v>
      </c>
      <c r="F8" s="6"/>
      <c r="G8" s="5">
        <v>0</v>
      </c>
      <c r="H8" s="5">
        <v>0</v>
      </c>
      <c r="I8" s="5">
        <v>0</v>
      </c>
      <c r="J8" s="5">
        <v>0</v>
      </c>
      <c r="O8" s="3"/>
      <c r="P8" s="3"/>
      <c r="Q8" s="3"/>
      <c r="R8" s="3"/>
      <c r="S8" s="3"/>
      <c r="T8" s="3"/>
      <c r="U8" s="3"/>
      <c r="V8" s="3"/>
      <c r="W8" s="3"/>
      <c r="X8" s="4"/>
      <c r="Y8" s="3">
        <v>1</v>
      </c>
      <c r="Z8" s="1">
        <v>0</v>
      </c>
    </row>
    <row r="9" spans="2:26">
      <c r="O9" s="3">
        <f>IF(AND(Z8,IF(лаба1!Y8,W7,O7)),1,0)</f>
        <v>0</v>
      </c>
      <c r="P9" s="3">
        <f>IF(AND(Z8,IF(лаба1!Y8,O7,P7)),1,0)</f>
        <v>0</v>
      </c>
      <c r="Q9" s="3">
        <f>IF(AND(Z8,IF(лаба1!Y8,P7,Q7)),1,0)</f>
        <v>0</v>
      </c>
      <c r="R9" s="3">
        <f>IF(AND(Z8,IF(лаба1!Y8,Q7,R7)),1,0)</f>
        <v>0</v>
      </c>
      <c r="S9" s="3"/>
      <c r="T9" s="3">
        <f>IF(AND(Z8,IF(лаба1!Y8,S7,T7)),1,0)</f>
        <v>0</v>
      </c>
      <c r="U9" s="3">
        <f>IF(AND(Z8,IF(лаба1!Y8,T7,U7)),1,0)</f>
        <v>0</v>
      </c>
      <c r="V9" s="3">
        <f>IF(AND(Z8,IF(лаба1!Y8,U7,V7)),1,0)</f>
        <v>0</v>
      </c>
      <c r="W9" s="3">
        <f>IF(AND(Z8,IF(лаба1!Y8,V7,W7)),1,0)</f>
        <v>0</v>
      </c>
      <c r="X9" s="4"/>
      <c r="Y9" s="4"/>
    </row>
    <row r="10" spans="2:26">
      <c r="O10" s="2"/>
    </row>
    <row r="11" spans="2:26">
      <c r="B11" s="1">
        <f>IF(K2,D89,0)</f>
        <v>0</v>
      </c>
      <c r="C11" s="1">
        <f>IF(K2,D85,0)</f>
        <v>0</v>
      </c>
      <c r="D11" s="1">
        <f>IF(K2,D81,0)</f>
        <v>0</v>
      </c>
      <c r="E11" s="1">
        <f>IF(K2,D76,0)</f>
        <v>0</v>
      </c>
      <c r="G11" s="1">
        <f>IF(K2,D72,0)</f>
        <v>0</v>
      </c>
      <c r="H11" s="1">
        <f>IF(K2,D67,0)</f>
        <v>0</v>
      </c>
      <c r="I11" s="1">
        <f>IF(K2,D63,0)</f>
        <v>0</v>
      </c>
      <c r="J11" s="1">
        <f>IF(K2,D58,0)</f>
        <v>0</v>
      </c>
    </row>
    <row r="24" spans="10:18">
      <c r="J24" s="1">
        <f>IF(OR(B11,O9),1,0)</f>
        <v>0</v>
      </c>
      <c r="K24" s="1">
        <f>IF(OR(C11,P9),1,0)</f>
        <v>0</v>
      </c>
      <c r="L24" s="1">
        <f>IF(OR(D11,Q9),1,0)</f>
        <v>0</v>
      </c>
      <c r="M24" s="1">
        <f>IF(OR(E11,R9),1,0)</f>
        <v>0</v>
      </c>
      <c r="O24" s="1">
        <f>IF(OR(G11,T9),1,0)</f>
        <v>0</v>
      </c>
      <c r="P24" s="1">
        <f>IF(OR(H11,U9),1,0)</f>
        <v>0</v>
      </c>
      <c r="Q24" s="1">
        <f>IF(OR(I11,V9),1,0)</f>
        <v>0</v>
      </c>
      <c r="R24" s="1">
        <f>IF(OR(J11,W9),1,0)</f>
        <v>0</v>
      </c>
    </row>
    <row r="57" spans="1:5">
      <c r="A57" s="1">
        <f>IF(_xlfn.XOR(J7,J8),1,0)</f>
        <v>0</v>
      </c>
      <c r="C57" s="1">
        <f>IF(AND(K2,A57),1,0)</f>
        <v>0</v>
      </c>
      <c r="E57" s="1">
        <f>IF(OR(A58,C57),1,0)</f>
        <v>0</v>
      </c>
    </row>
    <row r="58" spans="1:5">
      <c r="A58" s="1">
        <f>IF(AND(J7,J8),1,0)</f>
        <v>0</v>
      </c>
      <c r="D58" s="1">
        <f>IF(_xlfn.XOR(N2,A57),1,0)</f>
        <v>0</v>
      </c>
    </row>
    <row r="62" spans="1:5">
      <c r="A62" s="1">
        <f>IF(_xlfn.XOR(I7,I8),1,0)</f>
        <v>0</v>
      </c>
      <c r="C62" s="1">
        <f>IF(AND(E57,A62),1,0)</f>
        <v>0</v>
      </c>
      <c r="E62" s="1">
        <f>IF(OR(A63,C62),1,0)</f>
        <v>0</v>
      </c>
    </row>
    <row r="63" spans="1:5">
      <c r="A63" s="1">
        <f>IF(AND(I7,I8),1,0)</f>
        <v>0</v>
      </c>
      <c r="D63" s="1">
        <f>IF(_xlfn.XOR(E57,A62),1,0)</f>
        <v>0</v>
      </c>
    </row>
    <row r="66" spans="1:5">
      <c r="A66" s="1">
        <f>IF(_xlfn.XOR(H7,H8),1,0)</f>
        <v>0</v>
      </c>
      <c r="C66" s="1">
        <f>IF(AND(E62,A66),1,0)</f>
        <v>0</v>
      </c>
      <c r="E66" s="1">
        <f>IF(OR(A67,C66),1,0)</f>
        <v>0</v>
      </c>
    </row>
    <row r="67" spans="1:5">
      <c r="A67" s="1">
        <f>IF(AND(H7,H8),1,0)</f>
        <v>0</v>
      </c>
      <c r="D67" s="1">
        <f>IF(_xlfn.XOR(E62,A66),1,0)</f>
        <v>0</v>
      </c>
    </row>
    <row r="71" spans="1:5">
      <c r="A71" s="1">
        <f>IF(_xlfn.XOR(G7,G8),1,0)</f>
        <v>0</v>
      </c>
      <c r="C71" s="1">
        <f>IF(AND(E66,A71),1,0)</f>
        <v>0</v>
      </c>
      <c r="E71" s="1">
        <f>IF(OR(A72,C71),1,0)</f>
        <v>0</v>
      </c>
    </row>
    <row r="72" spans="1:5">
      <c r="A72" s="1">
        <f>IF(AND(G7,G8),1,0)</f>
        <v>0</v>
      </c>
      <c r="D72" s="1">
        <f>IF(_xlfn.XOR(E66,A71),1,0)</f>
        <v>0</v>
      </c>
    </row>
    <row r="75" spans="1:5">
      <c r="A75" s="1">
        <f>IF(_xlfn.XOR(E7,E8),1,0)</f>
        <v>0</v>
      </c>
      <c r="C75" s="1">
        <f>IF(AND(E71,A75),1,0)</f>
        <v>0</v>
      </c>
      <c r="E75" s="1">
        <f>IF(OR(A76,C75),1,0)</f>
        <v>0</v>
      </c>
    </row>
    <row r="76" spans="1:5">
      <c r="A76" s="1">
        <f>IF(AND(E7,E8),1,0)</f>
        <v>0</v>
      </c>
      <c r="D76" s="1">
        <f>IF(_xlfn.XOR(E71,A75),1,0)</f>
        <v>0</v>
      </c>
    </row>
    <row r="80" spans="1:5">
      <c r="A80" s="1">
        <f>IF(_xlfn.XOR(D7,D8),1,0)</f>
        <v>0</v>
      </c>
      <c r="C80" s="1">
        <f>IF(AND(E75,A80),1,0)</f>
        <v>0</v>
      </c>
      <c r="E80" s="1">
        <f>IF(OR(A81,C80),1,0)</f>
        <v>0</v>
      </c>
    </row>
    <row r="81" spans="1:5">
      <c r="A81" s="1">
        <f>IF(AND(D7,D8),1,0)</f>
        <v>0</v>
      </c>
      <c r="D81" s="1">
        <f>IF(_xlfn.XOR(E75,A80),1,0)</f>
        <v>0</v>
      </c>
    </row>
    <row r="84" spans="1:5">
      <c r="A84" s="1">
        <f>IF(_xlfn.XOR(C7,C8),1,0)</f>
        <v>0</v>
      </c>
      <c r="C84" s="1">
        <f>IF(AND(E80,A84),1,0)</f>
        <v>0</v>
      </c>
      <c r="E84" s="1">
        <f>IF(OR(A85,C84),1,0)</f>
        <v>0</v>
      </c>
    </row>
    <row r="85" spans="1:5">
      <c r="A85" s="1">
        <f>IF(AND(C7,C8),1,0)</f>
        <v>0</v>
      </c>
      <c r="D85" s="1">
        <f>IF(_xlfn.XOR(E80,A84),1,0)</f>
        <v>0</v>
      </c>
    </row>
    <row r="88" spans="1:5">
      <c r="A88" s="1">
        <f>IF(_xlfn.XOR(B7,B8),1,0)</f>
        <v>0</v>
      </c>
      <c r="C88" s="1">
        <f>IF(AND(E84,A88),1,0)</f>
        <v>0</v>
      </c>
      <c r="E88" s="1">
        <f>IF(OR(A89,C88),1,0)</f>
        <v>0</v>
      </c>
    </row>
    <row r="89" spans="1:5">
      <c r="A89" s="1">
        <f>IF(AND(B7,B8),1,0)</f>
        <v>0</v>
      </c>
      <c r="D89" s="1">
        <f>IF(_xlfn.XOR(E84,A88),1,0)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лаба1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killo</dc:creator>
  <cp:lastModifiedBy>killo</cp:lastModifiedBy>
  <dcterms:created xsi:type="dcterms:W3CDTF">2026-09-17T11:36:05Z</dcterms:created>
  <dcterms:modified xsi:type="dcterms:W3CDTF">2026-09-17T18:15:27Z</dcterms:modified>
</cp:coreProperties>
</file>