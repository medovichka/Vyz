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repos\Облако\ВУЗ\3курс\Лабораторные\Архитектура ЭВМ\2\"/>
    </mc:Choice>
  </mc:AlternateContent>
  <xr:revisionPtr revIDLastSave="0" documentId="13_ncr:1_{4B78F2A0-6FE5-4741-B019-2C610BC373B2}" xr6:coauthVersionLast="47" xr6:coauthVersionMax="47" xr10:uidLastSave="{00000000-0000-0000-0000-000000000000}"/>
  <bookViews>
    <workbookView xWindow="-120" yWindow="-120" windowWidth="29040" windowHeight="15720" xr2:uid="{33F9B2C4-F068-4C42-B129-2D0398F4D904}"/>
  </bookViews>
  <sheets>
    <sheet name="лаба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" i="1" l="1"/>
  <c r="AC30" i="1"/>
  <c r="AB30" i="1"/>
  <c r="AA30" i="1"/>
  <c r="Y30" i="1"/>
  <c r="X30" i="1"/>
  <c r="W30" i="1"/>
  <c r="A106" i="1"/>
  <c r="A105" i="1"/>
  <c r="A110" i="1"/>
  <c r="A109" i="1"/>
  <c r="V30" i="1"/>
  <c r="A114" i="1"/>
  <c r="A113" i="1"/>
  <c r="A101" i="1"/>
  <c r="A97" i="1"/>
  <c r="A92" i="1"/>
  <c r="A88" i="1"/>
  <c r="A83" i="1"/>
  <c r="A100" i="1"/>
  <c r="A96" i="1"/>
  <c r="A91" i="1"/>
  <c r="A87" i="1"/>
  <c r="A82" i="1"/>
  <c r="C82" i="1" s="1"/>
  <c r="D83" i="1" l="1"/>
  <c r="M18" i="1" s="1"/>
  <c r="U48" i="1" s="1"/>
  <c r="E82" i="1"/>
  <c r="D88" i="1" s="1"/>
  <c r="L18" i="1" s="1"/>
  <c r="T48" i="1" l="1"/>
  <c r="C87" i="1"/>
  <c r="E87" i="1" s="1"/>
  <c r="C91" i="1" l="1"/>
  <c r="E91" i="1" s="1"/>
  <c r="D92" i="1"/>
  <c r="K18" i="1" s="1"/>
  <c r="S48" i="1" s="1"/>
  <c r="C96" i="1" l="1"/>
  <c r="E96" i="1" s="1"/>
  <c r="D97" i="1"/>
  <c r="J18" i="1" s="1"/>
  <c r="R48" i="1" s="1"/>
  <c r="D101" i="1" l="1"/>
  <c r="I18" i="1" s="1"/>
  <c r="Q48" i="1" s="1"/>
  <c r="C100" i="1"/>
  <c r="E100" i="1" s="1"/>
  <c r="D106" i="1" l="1"/>
  <c r="H18" i="1" s="1"/>
  <c r="P48" i="1" s="1"/>
  <c r="C105" i="1"/>
  <c r="E105" i="1" s="1"/>
  <c r="D110" i="1" l="1"/>
  <c r="G18" i="1" s="1"/>
  <c r="O48" i="1" s="1"/>
  <c r="C109" i="1"/>
  <c r="E109" i="1" s="1"/>
  <c r="D114" i="1" l="1"/>
  <c r="F18" i="1" s="1"/>
  <c r="N48" i="1" s="1"/>
  <c r="K48" i="1" s="1"/>
  <c r="C113" i="1"/>
  <c r="E113" i="1" s="1"/>
  <c r="D26" i="1" s="1"/>
</calcChain>
</file>

<file path=xl/sharedStrings.xml><?xml version="1.0" encoding="utf-8"?>
<sst xmlns="http://schemas.openxmlformats.org/spreadsheetml/2006/main" count="2" uniqueCount="2">
  <si>
    <t>+1</t>
  </si>
  <si>
    <t>LS2: "A ∨ B"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</si>
</sst>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04"/>
      <scheme val="minor"/>
    </font>
    <font>
      <sz val="22"/>
      <color theme="1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19970</xdr:colOff>
      <xdr:row>1</xdr:row>
      <xdr:rowOff>23567</xdr:rowOff>
    </xdr:from>
    <xdr:to>
      <xdr:col>32</xdr:col>
      <xdr:colOff>122465</xdr:colOff>
      <xdr:row>48</xdr:row>
      <xdr:rowOff>33717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DD8E3F-195C-05E6-DD93-4299BEF140CA}"/>
            </a:ext>
          </a:extLst>
        </xdr:cNvPr>
        <xdr:cNvSpPr/>
      </xdr:nvSpPr>
      <xdr:spPr>
        <a:xfrm>
          <a:off x="673113" y="200460"/>
          <a:ext cx="15587423" cy="9208578"/>
        </a:xfrm>
        <a:prstGeom prst="rect">
          <a:avLst/>
        </a:prstGeom>
        <a:blipFill>
          <a:blip xmlns:r="http://schemas.openxmlformats.org/officeDocument/2006/relationships" r:embed="rId1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 fPrint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3F24-D8F7-4BDE-85F3-835114F5308D}">
  <dimension ref="A2:AG114"/>
  <sheetViews>
    <sheetView tabSelected="1" zoomScaleNormal="100" workbookViewId="0">
      <selection activeCell="AF16" sqref="AF16"/>
    </sheetView>
  </sheetViews>
  <sheetFormatPr defaultColWidth="8.75" defaultRowHeight="14.25"/>
  <cols>
    <col min="1" max="1" width="8.625" style="2" customWidth="1"/>
    <col min="2" max="2" width="5.5" style="2" customWidth="1"/>
    <col min="3" max="3" width="6.75" style="2" customWidth="1"/>
    <col min="4" max="4" width="5.25" style="2" customWidth="1"/>
    <col min="5" max="5" width="5" style="2" customWidth="1"/>
    <col min="6" max="6" width="7.5" style="2" customWidth="1"/>
    <col min="7" max="9" width="6.625" style="2" customWidth="1"/>
    <col min="10" max="10" width="3.625" style="2" customWidth="1"/>
    <col min="11" max="11" width="6.125" style="2" customWidth="1"/>
    <col min="12" max="12" width="6.375" style="2" customWidth="1"/>
    <col min="13" max="13" width="5.875" style="2" customWidth="1"/>
    <col min="14" max="14" width="5.625" style="2" customWidth="1"/>
    <col min="15" max="15" width="6.75" style="2" customWidth="1"/>
    <col min="16" max="16" width="7.125" style="2" customWidth="1"/>
    <col min="17" max="17" width="7" style="2" customWidth="1"/>
    <col min="18" max="18" width="4.875" style="2" customWidth="1"/>
    <col min="19" max="19" width="6" style="2" customWidth="1"/>
    <col min="20" max="20" width="6.25" style="2" customWidth="1"/>
    <col min="21" max="21" width="7.625" style="2" customWidth="1"/>
    <col min="22" max="28" width="6.375" style="2" customWidth="1"/>
    <col min="29" max="16384" width="8.75" style="2"/>
  </cols>
  <sheetData>
    <row r="2" spans="1:32" ht="30" customHeight="1">
      <c r="B2" s="2">
        <v>0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1</v>
      </c>
    </row>
    <row r="9" spans="1:32" ht="10.5" customHeight="1"/>
    <row r="10" spans="1:32" ht="26.25" customHeight="1">
      <c r="O10" s="3"/>
      <c r="V10" s="2">
        <v>0</v>
      </c>
      <c r="W10" s="2">
        <v>0</v>
      </c>
      <c r="X10" s="2">
        <v>0</v>
      </c>
      <c r="Y10" s="2">
        <v>1</v>
      </c>
      <c r="Z10" s="2">
        <v>1</v>
      </c>
      <c r="AA10" s="2">
        <v>0</v>
      </c>
      <c r="AB10" s="2">
        <v>1</v>
      </c>
      <c r="AC10" s="2">
        <v>1</v>
      </c>
    </row>
    <row r="15" spans="1:32">
      <c r="A15" s="2">
        <v>0</v>
      </c>
    </row>
    <row r="16" spans="1:32">
      <c r="AF16" s="1">
        <v>1</v>
      </c>
    </row>
    <row r="18" spans="4:33" ht="24.75" customHeight="1">
      <c r="F18" s="2">
        <f>D114</f>
        <v>1</v>
      </c>
      <c r="G18" s="2">
        <f>D110</f>
        <v>0</v>
      </c>
      <c r="H18" s="2">
        <f>D106</f>
        <v>0</v>
      </c>
      <c r="I18" s="2">
        <f>D101</f>
        <v>0</v>
      </c>
      <c r="J18" s="2">
        <f>D97</f>
        <v>0</v>
      </c>
      <c r="K18" s="2">
        <f>D92</f>
        <v>0</v>
      </c>
      <c r="L18" s="2">
        <f>D88</f>
        <v>0</v>
      </c>
      <c r="M18" s="2">
        <f>D83</f>
        <v>0</v>
      </c>
    </row>
    <row r="19" spans="4:33">
      <c r="S19" s="1">
        <v>1</v>
      </c>
    </row>
    <row r="26" spans="4:33">
      <c r="D26" s="5">
        <f>IF(_xlfn.XOR(E113,E109),1,0)</f>
        <v>1</v>
      </c>
    </row>
    <row r="27" spans="4:33">
      <c r="D27" s="5"/>
    </row>
    <row r="29" spans="4:33" ht="6" customHeight="1"/>
    <row r="30" spans="4:33" ht="34.5" customHeight="1">
      <c r="V30" s="2">
        <f>IF(AF16,IF(лаба1!AG31,AC10,V10),0)</f>
        <v>1</v>
      </c>
      <c r="W30" s="2">
        <f>IF(AF16,IF(лаба1!AG31,V10,W10),0)</f>
        <v>0</v>
      </c>
      <c r="X30" s="2">
        <f>IF(AF16,IF(лаба1!AG31,W10,X10),0)</f>
        <v>0</v>
      </c>
      <c r="Y30" s="2">
        <f>IF(AF16,IF(лаба1!AG31,X10,Y10),0)</f>
        <v>0</v>
      </c>
      <c r="Z30" s="2">
        <f>IF(AF16,IF(AG31,Y10,Z10),0)</f>
        <v>1</v>
      </c>
      <c r="AA30" s="2">
        <f>IF(AF16,IF(лаба1!AG31,Z10,AA10),0)</f>
        <v>1</v>
      </c>
      <c r="AB30" s="2">
        <f>IF(AF16,IF(лаба1!AG31,AA10,AB10),0)</f>
        <v>0</v>
      </c>
      <c r="AC30" s="2">
        <f>IF(AF16,IF(лаба1!AG31,AB10,AC10),0)</f>
        <v>1</v>
      </c>
    </row>
    <row r="31" spans="4:33" ht="29.25" customHeight="1">
      <c r="AG31" s="1">
        <v>1</v>
      </c>
    </row>
    <row r="36" spans="11:22" ht="27">
      <c r="N36" s="6" t="s">
        <v>1</v>
      </c>
      <c r="O36" s="6"/>
      <c r="P36" s="6"/>
      <c r="Q36" s="6"/>
      <c r="R36" s="6"/>
      <c r="S36" s="6"/>
      <c r="T36" s="6"/>
      <c r="U36" s="6"/>
      <c r="V36" s="6"/>
    </row>
    <row r="43" spans="11:22" ht="6.75" customHeight="1"/>
    <row r="45" spans="11:22" ht="9.75" customHeight="1"/>
    <row r="47" spans="11:22" ht="5.25" customHeight="1"/>
    <row r="48" spans="11:22" ht="27" customHeight="1">
      <c r="K48" s="2">
        <f>N48</f>
        <v>1</v>
      </c>
      <c r="N48" s="2">
        <f t="shared" ref="N48:U48" si="0">IF(OR(F18,V30),1,0)</f>
        <v>1</v>
      </c>
      <c r="O48" s="2">
        <f t="shared" si="0"/>
        <v>0</v>
      </c>
      <c r="P48" s="2">
        <f t="shared" si="0"/>
        <v>0</v>
      </c>
      <c r="Q48" s="2">
        <f t="shared" si="0"/>
        <v>0</v>
      </c>
      <c r="R48" s="2">
        <f t="shared" si="0"/>
        <v>1</v>
      </c>
      <c r="S48" s="2">
        <f t="shared" si="0"/>
        <v>1</v>
      </c>
      <c r="T48" s="2">
        <f t="shared" si="0"/>
        <v>0</v>
      </c>
      <c r="U48" s="2">
        <f t="shared" si="0"/>
        <v>1</v>
      </c>
    </row>
    <row r="78" spans="2:2">
      <c r="B78" s="4" t="s">
        <v>0</v>
      </c>
    </row>
    <row r="79" spans="2:2">
      <c r="B79" s="2">
        <v>0</v>
      </c>
    </row>
    <row r="82" spans="1:5">
      <c r="A82" s="2">
        <f>IF(_xlfn.XOR(I2,R2),1,0)</f>
        <v>0</v>
      </c>
      <c r="C82" s="2">
        <f>IF(AND(B79,A82),1,0)</f>
        <v>0</v>
      </c>
      <c r="E82" s="2">
        <f>IF(OR(A83,C82),1,0)</f>
        <v>1</v>
      </c>
    </row>
    <row r="83" spans="1:5">
      <c r="A83" s="2">
        <f>IF(AND(I2,R2),1,0)</f>
        <v>1</v>
      </c>
      <c r="D83" s="2">
        <f>IF(AND(S19,AF16),IF(_xlfn.XOR(B79,A82),1,0),0)</f>
        <v>0</v>
      </c>
    </row>
    <row r="87" spans="1:5">
      <c r="A87" s="2">
        <f>IF(_xlfn.XOR(H2,Q2),1,0)</f>
        <v>1</v>
      </c>
      <c r="C87" s="2">
        <f>IF(AND(E82,A87),1,0)</f>
        <v>1</v>
      </c>
      <c r="E87" s="2">
        <f>IF(OR(A88,C87),1,0)</f>
        <v>1</v>
      </c>
    </row>
    <row r="88" spans="1:5">
      <c r="A88" s="2">
        <f>IF(AND(H2,Q2),1,0)</f>
        <v>0</v>
      </c>
      <c r="D88" s="2">
        <f>IF(AND(S19,AF16),IF(_xlfn.XOR(E82,A87),1,0),0)</f>
        <v>0</v>
      </c>
    </row>
    <row r="91" spans="1:5">
      <c r="A91" s="2">
        <f>IF(_xlfn.XOR(G2,P2),1,0)</f>
        <v>1</v>
      </c>
      <c r="C91" s="2">
        <f>IF(AND(E87,A91),1,0)</f>
        <v>1</v>
      </c>
      <c r="E91" s="2">
        <f>IF(OR(A92,C91),1,0)</f>
        <v>1</v>
      </c>
    </row>
    <row r="92" spans="1:5">
      <c r="A92" s="2">
        <f>IF(AND(G2,P2),1,0)</f>
        <v>0</v>
      </c>
      <c r="D92" s="2">
        <f>IF(AND(S19,AF16),IF(_xlfn.XOR(E87,A91),1,0),0)</f>
        <v>0</v>
      </c>
    </row>
    <row r="96" spans="1:5">
      <c r="A96" s="2">
        <f>IF(_xlfn.XOR(F2,O2),1,0)</f>
        <v>1</v>
      </c>
      <c r="C96" s="2">
        <f>IF(AND(E91,A96),1,0)</f>
        <v>1</v>
      </c>
      <c r="E96" s="2">
        <f>IF(OR(A97,C96),1,0)</f>
        <v>1</v>
      </c>
    </row>
    <row r="97" spans="1:5">
      <c r="A97" s="2">
        <f>IF(AND(F2,O2),1,0)</f>
        <v>0</v>
      </c>
      <c r="D97" s="2">
        <f>IF(AND(S19,AF16),IF(_xlfn.XOR(E91,A96),1,0),0)</f>
        <v>0</v>
      </c>
    </row>
    <row r="100" spans="1:5">
      <c r="A100" s="2">
        <f>IF(_xlfn.XOR(E2,N2),1,0)</f>
        <v>1</v>
      </c>
      <c r="C100" s="2">
        <f>IF(AND(E96,A100),1,0)</f>
        <v>1</v>
      </c>
      <c r="E100" s="2">
        <f>IF(OR(A101,C100),1,0)</f>
        <v>1</v>
      </c>
    </row>
    <row r="101" spans="1:5">
      <c r="A101" s="2">
        <f>IF(AND(E2,N2),1,0)</f>
        <v>0</v>
      </c>
      <c r="D101" s="2">
        <f>IF(AND(S19,AF16),IF(_xlfn.XOR(E96,A100),1,0),0)</f>
        <v>0</v>
      </c>
    </row>
    <row r="105" spans="1:5">
      <c r="A105" s="2">
        <f>IF(_xlfn.XOR(D2,M2),1,0)</f>
        <v>1</v>
      </c>
      <c r="C105" s="2">
        <f>IF(AND(E100,A105),1,0)</f>
        <v>1</v>
      </c>
      <c r="E105" s="2">
        <f>IF(OR(A106,C105),1,0)</f>
        <v>1</v>
      </c>
    </row>
    <row r="106" spans="1:5">
      <c r="A106" s="2">
        <f>IF(AND(D2,M2),1,0)</f>
        <v>0</v>
      </c>
      <c r="D106" s="2">
        <f>IF(AND(S19,AF16),IF(_xlfn.XOR(E100,A105),1,0),0)</f>
        <v>0</v>
      </c>
    </row>
    <row r="109" spans="1:5">
      <c r="A109" s="2">
        <f>IF(_xlfn.XOR(C2,L2),1,0)</f>
        <v>1</v>
      </c>
      <c r="C109" s="2">
        <f>IF(AND(E105,A109),1,0)</f>
        <v>1</v>
      </c>
      <c r="E109" s="2">
        <f>IF(OR(A110,C109),1,0)</f>
        <v>1</v>
      </c>
    </row>
    <row r="110" spans="1:5">
      <c r="A110" s="2">
        <f>IF(AND(C2,L2),1,0)</f>
        <v>0</v>
      </c>
      <c r="D110" s="2">
        <f>IF(AND(S19,AF16),IF(_xlfn.XOR(E105,A109),1,0),0)</f>
        <v>0</v>
      </c>
    </row>
    <row r="113" spans="1:5">
      <c r="A113" s="2">
        <f>IF(_xlfn.XOR(B2,K2),1,0)</f>
        <v>0</v>
      </c>
      <c r="C113" s="2">
        <f>IF(AND(E109,A113),1,0)</f>
        <v>0</v>
      </c>
      <c r="E113" s="2">
        <f>IF(OR(A114,C113),1,0)</f>
        <v>0</v>
      </c>
    </row>
    <row r="114" spans="1:5">
      <c r="A114" s="2">
        <f>IF(AND(B2,K2),1,0)</f>
        <v>0</v>
      </c>
      <c r="D114" s="2">
        <f>IF(AND(S19,AF16),IF(_xlfn.XOR(E109,A113),1,0),0)</f>
        <v>1</v>
      </c>
    </row>
  </sheetData>
  <mergeCells count="2">
    <mergeCell ref="D26:D27"/>
    <mergeCell ref="N36:V3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лаба1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killo</dc:creator>
  <cp:lastModifiedBy>killo</cp:lastModifiedBy>
  <dcterms:created xsi:type="dcterms:W3CDTF">2026-09-17T11:36:05Z</dcterms:created>
  <dcterms:modified xsi:type="dcterms:W3CDTF">2026-10-01T10:22:49Z</dcterms:modified>
</cp:coreProperties>
</file>