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Vyz\3курс\Лабораторные\Архитектура ЭВМ\2\"/>
    </mc:Choice>
  </mc:AlternateContent>
  <xr:revisionPtr revIDLastSave="0" documentId="13_ncr:1_{572E507C-B4DE-463D-9921-4E45C43B9DAA}" xr6:coauthVersionLast="47" xr6:coauthVersionMax="47" xr10:uidLastSave="{00000000-0000-0000-0000-000000000000}"/>
  <bookViews>
    <workbookView xWindow="-108" yWindow="372" windowWidth="23256" windowHeight="14136" xr2:uid="{33F9B2C4-F068-4C42-B129-2D0398F4D904}"/>
  </bookViews>
  <sheets>
    <sheet name="лаба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W30" i="1"/>
  <c r="X30" i="1"/>
  <c r="Y30" i="1"/>
  <c r="Z30" i="1"/>
  <c r="AA30" i="1"/>
  <c r="AB30" i="1"/>
  <c r="AC30" i="1"/>
  <c r="A106" i="1"/>
  <c r="A105" i="1"/>
  <c r="A110" i="1"/>
  <c r="A109" i="1"/>
  <c r="A114" i="1"/>
  <c r="A113" i="1"/>
  <c r="A101" i="1"/>
  <c r="A97" i="1"/>
  <c r="A92" i="1"/>
  <c r="A88" i="1"/>
  <c r="A83" i="1"/>
  <c r="A100" i="1"/>
  <c r="A96" i="1"/>
  <c r="A91" i="1"/>
  <c r="A87" i="1"/>
  <c r="A82" i="1"/>
  <c r="D83" i="1" s="1"/>
  <c r="C82" i="1" l="1"/>
  <c r="E82" i="1" s="1"/>
  <c r="D88" i="1" s="1"/>
  <c r="L18" i="1" s="1"/>
  <c r="M18" i="1"/>
  <c r="U48" i="1" s="1"/>
  <c r="T48" i="1" l="1"/>
  <c r="C87" i="1"/>
  <c r="E87" i="1" s="1"/>
  <c r="C91" i="1" l="1"/>
  <c r="E91" i="1" s="1"/>
  <c r="D92" i="1"/>
  <c r="K18" i="1" s="1"/>
  <c r="S48" i="1" s="1"/>
  <c r="C96" i="1" l="1"/>
  <c r="E96" i="1" s="1"/>
  <c r="D97" i="1"/>
  <c r="J18" i="1" s="1"/>
  <c r="R48" i="1" s="1"/>
  <c r="D101" i="1" l="1"/>
  <c r="I18" i="1" s="1"/>
  <c r="Q48" i="1" s="1"/>
  <c r="C100" i="1"/>
  <c r="E100" i="1" s="1"/>
  <c r="D106" i="1" l="1"/>
  <c r="H18" i="1" s="1"/>
  <c r="P48" i="1" s="1"/>
  <c r="C105" i="1"/>
  <c r="E105" i="1" s="1"/>
  <c r="D110" i="1" l="1"/>
  <c r="G18" i="1" s="1"/>
  <c r="O48" i="1" s="1"/>
  <c r="C109" i="1"/>
  <c r="E109" i="1" s="1"/>
  <c r="D114" i="1" l="1"/>
  <c r="F18" i="1" s="1"/>
  <c r="N48" i="1" s="1"/>
  <c r="K48" i="1" s="1"/>
  <c r="C113" i="1"/>
  <c r="E113" i="1" s="1"/>
  <c r="D26" i="1" s="1"/>
</calcChain>
</file>

<file path=xl/sharedStrings.xml><?xml version="1.0" encoding="utf-8"?>
<sst xmlns="http://schemas.openxmlformats.org/spreadsheetml/2006/main" count="3" uniqueCount="3">
  <si>
    <t>LS2: "A ∨ B"</t>
  </si>
  <si>
    <t>LS1 "Y/2"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</si>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</sst>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2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19970</xdr:colOff>
      <xdr:row>1</xdr:row>
      <xdr:rowOff>23567</xdr:rowOff>
    </xdr:from>
    <xdr:to>
      <xdr:col>32</xdr:col>
      <xdr:colOff>122465</xdr:colOff>
      <xdr:row>48</xdr:row>
      <xdr:rowOff>33717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DD8E3F-195C-05E6-DD93-4299BEF140CA}"/>
            </a:ext>
          </a:extLst>
        </xdr:cNvPr>
        <xdr:cNvSpPr/>
      </xdr:nvSpPr>
      <xdr:spPr>
        <a:xfrm>
          <a:off x="674814" y="202161"/>
          <a:ext cx="15532995" cy="9237494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>
    <xdr:from>
      <xdr:col>29</xdr:col>
      <xdr:colOff>318189</xdr:colOff>
      <xdr:row>16</xdr:row>
      <xdr:rowOff>1</xdr:rowOff>
    </xdr:from>
    <xdr:to>
      <xdr:col>30</xdr:col>
      <xdr:colOff>307146</xdr:colOff>
      <xdr:row>29</xdr:row>
      <xdr:rowOff>70403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C54EEA-6B3F-5CBD-D09C-F54564EF9BA5}"/>
            </a:ext>
          </a:extLst>
        </xdr:cNvPr>
        <xdr:cNvSpPr/>
      </xdr:nvSpPr>
      <xdr:spPr>
        <a:xfrm>
          <a:off x="14403283" y="3167064"/>
          <a:ext cx="655707" cy="241593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200967</xdr:colOff>
      <xdr:row>27</xdr:row>
      <xdr:rowOff>114122</xdr:rowOff>
    </xdr:from>
    <xdr:to>
      <xdr:col>24</xdr:col>
      <xdr:colOff>410307</xdr:colOff>
      <xdr:row>29</xdr:row>
      <xdr:rowOff>31843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2CCDA6-0375-393A-3C2E-CB8BF44A45D3}"/>
            </a:ext>
          </a:extLst>
        </xdr:cNvPr>
        <xdr:cNvSpPr/>
      </xdr:nvSpPr>
      <xdr:spPr>
        <a:xfrm flipV="1">
          <a:off x="11187415" y="5293447"/>
          <a:ext cx="696110" cy="17020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523009</xdr:colOff>
      <xdr:row>8</xdr:row>
      <xdr:rowOff>30569</xdr:rowOff>
    </xdr:from>
    <xdr:to>
      <xdr:col>29</xdr:col>
      <xdr:colOff>292100</xdr:colOff>
      <xdr:row>13</xdr:row>
      <xdr:rowOff>91629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ED18B42-13D8-CDBC-9FBE-1CB0A3E43C83}"/>
            </a:ext>
          </a:extLst>
        </xdr:cNvPr>
        <xdr:cNvSpPr/>
      </xdr:nvSpPr>
      <xdr:spPr>
        <a:xfrm>
          <a:off x="9940853" y="1661725"/>
          <a:ext cx="4436341" cy="106118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69273</xdr:colOff>
      <xdr:row>7</xdr:row>
      <xdr:rowOff>11545</xdr:rowOff>
    </xdr:from>
    <xdr:to>
      <xdr:col>14</xdr:col>
      <xdr:colOff>184727</xdr:colOff>
      <xdr:row>7</xdr:row>
      <xdr:rowOff>138545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6C127BA-1BBD-006B-071B-2468E45E601F}"/>
            </a:ext>
          </a:extLst>
        </xdr:cNvPr>
        <xdr:cNvSpPr/>
      </xdr:nvSpPr>
      <xdr:spPr>
        <a:xfrm>
          <a:off x="6627091" y="1431636"/>
          <a:ext cx="115454" cy="1270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l"/>
          <a:endParaRPr lang="ru-RU" sz="1100"/>
        </a:p>
      </xdr:txBody>
    </xdr:sp>
    <xdr:clientData/>
  </xdr:twoCellAnchor>
  <xdr:twoCellAnchor>
    <xdr:from>
      <xdr:col>25</xdr:col>
      <xdr:colOff>129540</xdr:colOff>
      <xdr:row>9</xdr:row>
      <xdr:rowOff>121920</xdr:rowOff>
    </xdr:from>
    <xdr:to>
      <xdr:col>25</xdr:col>
      <xdr:colOff>137160</xdr:colOff>
      <xdr:row>13</xdr:row>
      <xdr:rowOff>15240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0C15D78-91C6-B098-95C5-569912B14454}"/>
            </a:ext>
          </a:extLst>
        </xdr:cNvPr>
        <xdr:cNvCxnSpPr/>
      </xdr:nvCxnSpPr>
      <xdr:spPr>
        <a:xfrm flipV="1">
          <a:off x="12092940" y="1859280"/>
          <a:ext cx="7620" cy="7467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167819</xdr:colOff>
      <xdr:row>7</xdr:row>
      <xdr:rowOff>119946</xdr:rowOff>
    </xdr:from>
    <xdr:to>
      <xdr:col>25</xdr:col>
      <xdr:colOff>205149</xdr:colOff>
      <xdr:row>8</xdr:row>
      <xdr:rowOff>30569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6C6C0D5-CFB5-4D70-AD81-D46196153E2C}"/>
            </a:ext>
          </a:extLst>
        </xdr:cNvPr>
        <xdr:cNvCxnSpPr>
          <a:stCxn id="6" idx="5"/>
          <a:endCxn id="5" idx="0"/>
        </xdr:cNvCxnSpPr>
      </xdr:nvCxnSpPr>
      <xdr:spPr>
        <a:xfrm>
          <a:off x="6704350" y="1572509"/>
          <a:ext cx="5454674" cy="892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160020</xdr:colOff>
      <xdr:row>8</xdr:row>
      <xdr:rowOff>30569</xdr:rowOff>
    </xdr:from>
    <xdr:to>
      <xdr:col>25</xdr:col>
      <xdr:colOff>205625</xdr:colOff>
      <xdr:row>9</xdr:row>
      <xdr:rowOff>288133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C52FE96-17E4-C12E-5733-72290A8CD088}"/>
            </a:ext>
          </a:extLst>
        </xdr:cNvPr>
        <xdr:cNvCxnSpPr>
          <a:endCxn id="5" idx="0"/>
        </xdr:cNvCxnSpPr>
      </xdr:nvCxnSpPr>
      <xdr:spPr>
        <a:xfrm flipV="1">
          <a:off x="12113895" y="1661725"/>
          <a:ext cx="45605" cy="3885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243840</xdr:colOff>
      <xdr:row>2</xdr:row>
      <xdr:rowOff>45720</xdr:rowOff>
    </xdr:from>
    <xdr:to>
      <xdr:col>14</xdr:col>
      <xdr:colOff>45720</xdr:colOff>
      <xdr:row>3</xdr:row>
      <xdr:rowOff>68580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B8750E2-6DF2-8329-23BA-5C9F815C5C06}"/>
            </a:ext>
          </a:extLst>
        </xdr:cNvPr>
        <xdr:cNvSpPr/>
      </xdr:nvSpPr>
      <xdr:spPr>
        <a:xfrm>
          <a:off x="6362700" y="601980"/>
          <a:ext cx="228600" cy="1981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</a:t>
          </a:r>
        </a:p>
      </xdr:txBody>
    </xdr:sp>
    <xdr:clientData/>
  </xdr:twoCellAnchor>
  <xdr:twoCellAnchor>
    <xdr:from>
      <xdr:col>29</xdr:col>
      <xdr:colOff>101495</xdr:colOff>
      <xdr:row>29</xdr:row>
      <xdr:rowOff>35719</xdr:rowOff>
    </xdr:from>
    <xdr:to>
      <xdr:col>30</xdr:col>
      <xdr:colOff>90452</xdr:colOff>
      <xdr:row>29</xdr:row>
      <xdr:rowOff>353772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3CC7C31-8B76-417B-BF6B-5D343F33679F}"/>
            </a:ext>
          </a:extLst>
        </xdr:cNvPr>
        <xdr:cNvSpPr/>
      </xdr:nvSpPr>
      <xdr:spPr>
        <a:xfrm rot="1495619">
          <a:off x="14186589" y="5548313"/>
          <a:ext cx="655707" cy="31805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619125</xdr:colOff>
      <xdr:row>14</xdr:row>
      <xdr:rowOff>166688</xdr:rowOff>
    </xdr:from>
    <xdr:to>
      <xdr:col>32</xdr:col>
      <xdr:colOff>166687</xdr:colOff>
      <xdr:row>16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558C2D1-E68A-F295-3E6D-DB5D7446F7FD}"/>
            </a:ext>
          </a:extLst>
        </xdr:cNvPr>
        <xdr:cNvSpPr/>
      </xdr:nvSpPr>
      <xdr:spPr>
        <a:xfrm>
          <a:off x="15370969" y="2976563"/>
          <a:ext cx="881062" cy="2857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358588</xdr:colOff>
      <xdr:row>2</xdr:row>
      <xdr:rowOff>64035</xdr:rowOff>
    </xdr:from>
    <xdr:to>
      <xdr:col>14</xdr:col>
      <xdr:colOff>12807</xdr:colOff>
      <xdr:row>5</xdr:row>
      <xdr:rowOff>51227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3715CB-39BA-A48C-5808-F4ECFBAE5260}"/>
            </a:ext>
          </a:extLst>
        </xdr:cNvPr>
        <xdr:cNvSpPr txBox="1"/>
      </xdr:nvSpPr>
      <xdr:spPr>
        <a:xfrm>
          <a:off x="6038370" y="621127"/>
          <a:ext cx="531479" cy="505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Y</a:t>
          </a:r>
          <a:endParaRPr lang="ru-RU" sz="2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3F24-D8F7-4BDE-85F3-835114F5308D}">
  <dimension ref="A2:AG114"/>
  <sheetViews>
    <sheetView tabSelected="1" zoomScale="66" zoomScaleNormal="161" workbookViewId="0">
      <selection activeCell="S20" sqref="S20"/>
    </sheetView>
  </sheetViews>
  <sheetFormatPr defaultColWidth="8.69921875" defaultRowHeight="13.8"/>
  <cols>
    <col min="1" max="1" width="8.59765625" style="2" customWidth="1"/>
    <col min="2" max="2" width="5.5" style="2" customWidth="1"/>
    <col min="3" max="3" width="6.69921875" style="2" customWidth="1"/>
    <col min="4" max="4" width="5.19921875" style="2" customWidth="1"/>
    <col min="5" max="5" width="5" style="2" customWidth="1"/>
    <col min="6" max="6" width="7.5" style="2" customWidth="1"/>
    <col min="7" max="9" width="6.59765625" style="2" customWidth="1"/>
    <col min="10" max="10" width="3.59765625" style="2" customWidth="1"/>
    <col min="11" max="11" width="6.09765625" style="2" customWidth="1"/>
    <col min="12" max="12" width="6.3984375" style="2" customWidth="1"/>
    <col min="13" max="13" width="5.8984375" style="2" customWidth="1"/>
    <col min="14" max="14" width="5.59765625" style="2" customWidth="1"/>
    <col min="15" max="15" width="6.69921875" style="2" customWidth="1"/>
    <col min="16" max="16" width="7.09765625" style="2" customWidth="1"/>
    <col min="17" max="17" width="7" style="2" customWidth="1"/>
    <col min="18" max="18" width="4.8984375" style="2" customWidth="1"/>
    <col min="19" max="19" width="6" style="2" customWidth="1"/>
    <col min="20" max="20" width="6.19921875" style="2" customWidth="1"/>
    <col min="21" max="21" width="7.59765625" style="2" customWidth="1"/>
    <col min="22" max="28" width="6.3984375" style="2" customWidth="1"/>
    <col min="29" max="16384" width="8.69921875" style="2"/>
  </cols>
  <sheetData>
    <row r="2" spans="2:32" ht="30" customHeight="1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1</v>
      </c>
      <c r="I2" s="2">
        <v>1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</row>
    <row r="9" spans="2:32" ht="10.5" customHeight="1"/>
    <row r="10" spans="2:32" ht="26.25" customHeight="1">
      <c r="O10" s="3"/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5" spans="2:32">
      <c r="AF15" s="2">
        <v>0</v>
      </c>
    </row>
    <row r="16" spans="2:32">
      <c r="AF16" s="1">
        <v>1</v>
      </c>
    </row>
    <row r="18" spans="4:33" ht="24.75" customHeight="1">
      <c r="F18" s="2">
        <f>D114</f>
        <v>0</v>
      </c>
      <c r="G18" s="2">
        <f>D110</f>
        <v>0</v>
      </c>
      <c r="H18" s="2">
        <f>D106</f>
        <v>0</v>
      </c>
      <c r="I18" s="2">
        <f>D101</f>
        <v>0</v>
      </c>
      <c r="J18" s="2">
        <f>D97</f>
        <v>0</v>
      </c>
      <c r="K18" s="2">
        <f>D92</f>
        <v>0</v>
      </c>
      <c r="L18" s="2">
        <f>D88</f>
        <v>0</v>
      </c>
      <c r="M18" s="2">
        <f>D83</f>
        <v>0</v>
      </c>
    </row>
    <row r="19" spans="4:33">
      <c r="S19" s="1">
        <v>0</v>
      </c>
    </row>
    <row r="20" spans="4:33">
      <c r="S20" s="2" t="s">
        <v>2</v>
      </c>
    </row>
    <row r="26" spans="4:33">
      <c r="D26" s="5">
        <f>IF(_xlfn.XOR(E113,E109),1,0)</f>
        <v>0</v>
      </c>
    </row>
    <row r="27" spans="4:33">
      <c r="D27" s="5"/>
    </row>
    <row r="28" spans="4:33">
      <c r="Z28" s="5" t="s">
        <v>1</v>
      </c>
      <c r="AA28" s="5"/>
      <c r="AB28" s="5"/>
      <c r="AC28" s="5"/>
    </row>
    <row r="29" spans="4:33" ht="6" customHeight="1">
      <c r="Z29" s="5"/>
      <c r="AA29" s="5"/>
      <c r="AB29" s="5"/>
      <c r="AC29" s="5"/>
    </row>
    <row r="30" spans="4:33" ht="34.5" customHeight="1">
      <c r="V30" s="2">
        <f>IF(AG31,IF(лаба1!AG31,R2,K2),0)</f>
        <v>1</v>
      </c>
      <c r="W30" s="2">
        <f>IF(AG31,IF(лаба1!AG31,K2,L2),0)</f>
        <v>1</v>
      </c>
      <c r="X30" s="2">
        <f>IF(AG31,IF(лаба1!AG31,L2,M2),0)</f>
        <v>1</v>
      </c>
      <c r="Y30" s="2">
        <f>IF(AG31,IF(лаба1!AG31,M2,N2),0)</f>
        <v>0</v>
      </c>
      <c r="Z30" s="2">
        <f>IF(AG31,IF(AG31,N2,O2),0)</f>
        <v>0</v>
      </c>
      <c r="AA30" s="2">
        <f>IF(AG31,IF(лаба1!AG31,O2,P2),0)</f>
        <v>0</v>
      </c>
      <c r="AB30" s="2">
        <f>IF(AG31,IF(лаба1!AG31,P2,Q2),0)</f>
        <v>0</v>
      </c>
      <c r="AC30" s="2">
        <f>IF(AG31,IF(лаба1!AG31,Q2,R2),0)</f>
        <v>1</v>
      </c>
    </row>
    <row r="31" spans="4:33" ht="29.25" customHeight="1">
      <c r="AG31" s="1">
        <v>1</v>
      </c>
    </row>
    <row r="36" spans="11:22" ht="27.6">
      <c r="N36" s="6" t="s">
        <v>0</v>
      </c>
      <c r="O36" s="6"/>
      <c r="P36" s="6"/>
      <c r="Q36" s="6"/>
      <c r="R36" s="6"/>
      <c r="S36" s="6"/>
      <c r="T36" s="6"/>
      <c r="U36" s="6"/>
      <c r="V36" s="6"/>
    </row>
    <row r="43" spans="11:22" ht="6.75" customHeight="1"/>
    <row r="45" spans="11:22" ht="9.75" customHeight="1"/>
    <row r="47" spans="11:22" ht="5.25" customHeight="1"/>
    <row r="48" spans="11:22" ht="27" customHeight="1">
      <c r="K48" s="2">
        <f>N48</f>
        <v>1</v>
      </c>
      <c r="N48" s="2">
        <f t="shared" ref="N48:U48" si="0">IF(OR(F18,V30),1,0)</f>
        <v>1</v>
      </c>
      <c r="O48" s="2">
        <f t="shared" si="0"/>
        <v>1</v>
      </c>
      <c r="P48" s="2">
        <f t="shared" si="0"/>
        <v>1</v>
      </c>
      <c r="Q48" s="2">
        <f t="shared" si="0"/>
        <v>0</v>
      </c>
      <c r="R48" s="2">
        <f t="shared" si="0"/>
        <v>0</v>
      </c>
      <c r="S48" s="2">
        <f t="shared" si="0"/>
        <v>0</v>
      </c>
      <c r="T48" s="2">
        <f t="shared" si="0"/>
        <v>0</v>
      </c>
      <c r="U48" s="2">
        <f t="shared" si="0"/>
        <v>1</v>
      </c>
    </row>
    <row r="78" spans="2:2">
      <c r="B78" s="4"/>
    </row>
    <row r="82" spans="1:5">
      <c r="A82" s="2">
        <f>IF(_xlfn.XOR(I2,R2),1,0)</f>
        <v>0</v>
      </c>
      <c r="C82" s="2">
        <f>IF(AND(AF15,A82),1,0)</f>
        <v>0</v>
      </c>
      <c r="E82" s="2">
        <f>IF(OR(A83,C82),1,0)</f>
        <v>1</v>
      </c>
    </row>
    <row r="83" spans="1:5">
      <c r="A83" s="2">
        <f>IF(AND(I2,R2),1,0)</f>
        <v>1</v>
      </c>
      <c r="D83" s="2">
        <f>IF(AND(S19,AF16),IF(_xlfn.XOR(AF15,A82),1,0),0)</f>
        <v>0</v>
      </c>
    </row>
    <row r="87" spans="1:5">
      <c r="A87" s="2">
        <f>IF(_xlfn.XOR(H2,Q2),1,0)</f>
        <v>0</v>
      </c>
      <c r="C87" s="2">
        <f>IF(AND(E82,A87),1,0)</f>
        <v>0</v>
      </c>
      <c r="E87" s="2">
        <f>IF(OR(A88,C87),1,0)</f>
        <v>1</v>
      </c>
    </row>
    <row r="88" spans="1:5">
      <c r="A88" s="2">
        <f>IF(AND(H2,Q2),1,0)</f>
        <v>1</v>
      </c>
      <c r="D88" s="2">
        <f>IF(AND(S19,AF16),IF(_xlfn.XOR(E82,A87),1,0),0)</f>
        <v>0</v>
      </c>
    </row>
    <row r="91" spans="1:5">
      <c r="A91" s="2">
        <f>IF(_xlfn.XOR(G2,P2),1,0)</f>
        <v>1</v>
      </c>
      <c r="C91" s="2">
        <f>IF(AND(E87,A91),1,0)</f>
        <v>1</v>
      </c>
      <c r="E91" s="2">
        <f>IF(OR(A92,C91),1,0)</f>
        <v>1</v>
      </c>
    </row>
    <row r="92" spans="1:5">
      <c r="A92" s="2">
        <f>IF(AND(G2,P2),1,0)</f>
        <v>0</v>
      </c>
      <c r="D92" s="2">
        <f>IF(AND(S19,AF16),IF(_xlfn.XOR(E87,A91),1,0),0)</f>
        <v>0</v>
      </c>
    </row>
    <row r="96" spans="1:5">
      <c r="A96" s="2">
        <f>IF(_xlfn.XOR(F2,O2),1,0)</f>
        <v>0</v>
      </c>
      <c r="C96" s="2">
        <f>IF(AND(E91,A96),1,0)</f>
        <v>0</v>
      </c>
      <c r="E96" s="2">
        <f>IF(OR(A97,C96),1,0)</f>
        <v>0</v>
      </c>
    </row>
    <row r="97" spans="1:5">
      <c r="A97" s="2">
        <f>IF(AND(F2,O2),1,0)</f>
        <v>0</v>
      </c>
      <c r="D97" s="2">
        <f>IF(AND(S19,AF16),IF(_xlfn.XOR(E91,A96),1,0),0)</f>
        <v>0</v>
      </c>
    </row>
    <row r="100" spans="1:5">
      <c r="A100" s="2">
        <f>IF(_xlfn.XOR(E2,N2),1,0)</f>
        <v>0</v>
      </c>
      <c r="C100" s="2">
        <f>IF(AND(E96,A100),1,0)</f>
        <v>0</v>
      </c>
      <c r="E100" s="2">
        <f>IF(OR(A101,C100),1,0)</f>
        <v>0</v>
      </c>
    </row>
    <row r="101" spans="1:5">
      <c r="A101" s="2">
        <f>IF(AND(E2,N2),1,0)</f>
        <v>0</v>
      </c>
      <c r="D101" s="2">
        <f>IF(AND(S19,AF16),IF(_xlfn.XOR(E96,A100),1,0),0)</f>
        <v>0</v>
      </c>
    </row>
    <row r="105" spans="1:5">
      <c r="A105" s="2">
        <f>IF(_xlfn.XOR(D2,M2),1,0)</f>
        <v>0</v>
      </c>
      <c r="C105" s="2">
        <f>IF(AND(E100,A105),1,0)</f>
        <v>0</v>
      </c>
      <c r="E105" s="2">
        <f>IF(OR(A106,C105),1,0)</f>
        <v>0</v>
      </c>
    </row>
    <row r="106" spans="1:5">
      <c r="A106" s="2">
        <f>IF(AND(D2,M2),1,0)</f>
        <v>0</v>
      </c>
      <c r="D106" s="2">
        <f>IF(AND(S19,AF16),IF(_xlfn.XOR(E100,A105),1,0),0)</f>
        <v>0</v>
      </c>
    </row>
    <row r="109" spans="1:5">
      <c r="A109" s="2">
        <f>IF(_xlfn.XOR(C2,L2),1,0)</f>
        <v>1</v>
      </c>
      <c r="C109" s="2">
        <f>IF(AND(E105,A109),1,0)</f>
        <v>0</v>
      </c>
      <c r="E109" s="2">
        <f>IF(OR(A110,C109),1,0)</f>
        <v>0</v>
      </c>
    </row>
    <row r="110" spans="1:5">
      <c r="A110" s="2">
        <f>IF(AND(C2,L2),1,0)</f>
        <v>0</v>
      </c>
      <c r="D110" s="2">
        <f>IF(AND(S19,AF16),IF(_xlfn.XOR(E105,A109),1,0),0)</f>
        <v>0</v>
      </c>
    </row>
    <row r="113" spans="1:5">
      <c r="A113" s="2">
        <f>IF(_xlfn.XOR(B2,K2),1,0)</f>
        <v>1</v>
      </c>
      <c r="C113" s="2">
        <f>IF(AND(E109,A113),1,0)</f>
        <v>0</v>
      </c>
      <c r="E113" s="2">
        <f>IF(OR(A114,C113),1,0)</f>
        <v>0</v>
      </c>
    </row>
    <row r="114" spans="1:5">
      <c r="A114" s="2">
        <f>IF(AND(B2,K2),1,0)</f>
        <v>0</v>
      </c>
      <c r="D114" s="2">
        <f>IF(AND(S19,AF16),IF(_xlfn.XOR(E109,A113),1,0),0)</f>
        <v>0</v>
      </c>
    </row>
  </sheetData>
  <mergeCells count="3">
    <mergeCell ref="D26:D27"/>
    <mergeCell ref="N36:V36"/>
    <mergeCell ref="Z28:A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лаба1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killo</dc:creator>
  <cp:lastModifiedBy>killo</cp:lastModifiedBy>
  <dcterms:created xsi:type="dcterms:W3CDTF">2026-09-17T11:36:05Z</dcterms:created>
  <dcterms:modified xsi:type="dcterms:W3CDTF">2026-10-01T14:13:48Z</dcterms:modified>
</cp:coreProperties>
</file>